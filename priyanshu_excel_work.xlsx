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7EF3039-52F3-4BC5-871C-6AC78B6A792E}" xr6:coauthVersionLast="47" xr6:coauthVersionMax="47" xr10:uidLastSave="{00000000-0000-0000-0000-000000000000}"/>
  <bookViews>
    <workbookView xWindow="-120" yWindow="-120" windowWidth="29040" windowHeight="15720" activeTab="1" xr2:uid="{FBD0BAB9-A2C3-487E-8420-884A06A47057}"/>
  </bookViews>
  <sheets>
    <sheet name="Sheet1" sheetId="1" r:id="rId1"/>
    <sheet name="Sheet2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7" i="2" l="1"/>
  <c r="J16" i="2"/>
  <c r="J19" i="2"/>
  <c r="J18" i="2"/>
  <c r="H3" i="2"/>
  <c r="H4" i="2"/>
  <c r="H5" i="2"/>
  <c r="H6" i="2"/>
  <c r="H7" i="2"/>
  <c r="H8" i="2"/>
  <c r="H9" i="2"/>
  <c r="H10" i="2"/>
  <c r="H11" i="2"/>
  <c r="H2" i="2"/>
  <c r="J15" i="2"/>
  <c r="J14" i="2"/>
  <c r="J13" i="2"/>
  <c r="J12" i="2"/>
  <c r="J11" i="2"/>
  <c r="H10" i="1"/>
  <c r="E17" i="1"/>
  <c r="J6" i="1"/>
  <c r="J7" i="1"/>
  <c r="J8" i="1"/>
  <c r="J10" i="1" s="1"/>
  <c r="J12" i="1" s="1"/>
  <c r="J9" i="1"/>
  <c r="J5" i="1"/>
  <c r="E14" i="1"/>
</calcChain>
</file>

<file path=xl/sharedStrings.xml><?xml version="1.0" encoding="utf-8"?>
<sst xmlns="http://schemas.openxmlformats.org/spreadsheetml/2006/main" count="86" uniqueCount="69">
  <si>
    <t>MCQ-Part A</t>
  </si>
  <si>
    <t>answers</t>
  </si>
  <si>
    <t>Median</t>
  </si>
  <si>
    <t>range</t>
  </si>
  <si>
    <t>Histogram</t>
  </si>
  <si>
    <t>No.of Occurrences</t>
  </si>
  <si>
    <t>Highest-Lowest</t>
  </si>
  <si>
    <t xml:space="preserve">  Student     Marks</t>
  </si>
  <si>
    <t xml:space="preserve">  S1             65</t>
  </si>
  <si>
    <t xml:space="preserve">  S2             70</t>
  </si>
  <si>
    <t xml:space="preserve">  S3             72</t>
  </si>
  <si>
    <t xml:space="preserve">  S4             68</t>
  </si>
  <si>
    <t xml:space="preserve">  S5             75</t>
  </si>
  <si>
    <t xml:space="preserve">  S6             80</t>
  </si>
  <si>
    <t xml:space="preserve">  S7             72</t>
  </si>
  <si>
    <t xml:space="preserve">  S8             68</t>
  </si>
  <si>
    <t xml:space="preserve">  S9             90</t>
  </si>
  <si>
    <t xml:space="preserve">  S10            70</t>
  </si>
  <si>
    <t>Marks</t>
  </si>
  <si>
    <t>Mean</t>
  </si>
  <si>
    <t>Mode</t>
  </si>
  <si>
    <t>0-10</t>
  </si>
  <si>
    <t>f</t>
  </si>
  <si>
    <t>x</t>
  </si>
  <si>
    <t>fx</t>
  </si>
  <si>
    <t>Total</t>
  </si>
  <si>
    <t>Q-3</t>
  </si>
  <si>
    <t>City</t>
  </si>
  <si>
    <t>Salary</t>
  </si>
  <si>
    <t>Experience</t>
  </si>
  <si>
    <t>Joining Year</t>
  </si>
  <si>
    <t xml:space="preserve">EmpID </t>
  </si>
  <si>
    <t>Name</t>
  </si>
  <si>
    <t xml:space="preserve">Pooja   </t>
  </si>
  <si>
    <t xml:space="preserve">Ajay    </t>
  </si>
  <si>
    <t xml:space="preserve">Riya    </t>
  </si>
  <si>
    <t xml:space="preserve">Mohit   </t>
  </si>
  <si>
    <t>Neha</t>
  </si>
  <si>
    <t xml:space="preserve">Karan   </t>
  </si>
  <si>
    <t xml:space="preserve">Sneha   </t>
  </si>
  <si>
    <t xml:space="preserve">Amit    </t>
  </si>
  <si>
    <t xml:space="preserve">Priya   </t>
  </si>
  <si>
    <t xml:space="preserve">Rahul   </t>
  </si>
  <si>
    <t>Sales</t>
  </si>
  <si>
    <t>Hr</t>
  </si>
  <si>
    <t>IT</t>
  </si>
  <si>
    <t>Finance</t>
  </si>
  <si>
    <t>HR</t>
  </si>
  <si>
    <t>Ahemdabad</t>
  </si>
  <si>
    <t>Mumbai</t>
  </si>
  <si>
    <t>Pune</t>
  </si>
  <si>
    <t>Delhi</t>
  </si>
  <si>
    <t>Jaipur</t>
  </si>
  <si>
    <t>Ahmedabad</t>
  </si>
  <si>
    <t>Surat</t>
  </si>
  <si>
    <t>Column1</t>
  </si>
  <si>
    <t>Column2</t>
  </si>
  <si>
    <t>total Salary</t>
  </si>
  <si>
    <t>Avg Salary</t>
  </si>
  <si>
    <t>Highest Salary</t>
  </si>
  <si>
    <t>Lowest Salary</t>
  </si>
  <si>
    <t>Count Total Employees</t>
  </si>
  <si>
    <t>Sales Dept Count</t>
  </si>
  <si>
    <t>IT Department Salary</t>
  </si>
  <si>
    <t>Find Salary using EmpID -104</t>
  </si>
  <si>
    <t>Find Department using Employee Name</t>
  </si>
  <si>
    <t>Sum of Salary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</si>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</sst>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 [$₹-4009]\ * #,##0.00_ ;_ [$₹-4009]\ * \-#,##0.00_ ;_ [$₹-4009]\ * &quot;-&quot;??_ ;_ @_ "/>
  </numFmts>
  <fonts count="9" x14ac:knownFonts="1">
    <font>
      <sz val="11"/>
      <color theme="1"/>
      <name val="Bahnschrift SemiCondensed"/>
      <family val="2"/>
    </font>
    <font>
      <b/>
      <sz val="11"/>
      <color theme="0"/>
      <name val="Bahnschrift SemiCondensed"/>
      <family val="2"/>
    </font>
    <font>
      <sz val="12"/>
      <color rgb="FFF0F6FC"/>
      <name val="Segoe UI"/>
      <family val="2"/>
    </font>
    <font>
      <sz val="12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8"/>
      <name val="Bahnschrift SemiCondensed"/>
      <family val="2"/>
    </font>
    <font>
      <sz val="10"/>
      <color rgb="FFF0F6FC"/>
      <name val="Consolas"/>
      <family val="3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3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[priyanshu_excel_work.xlsx]Sheet2!PivotTable1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Of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Sheet2!$J$24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43A-44A2-BA10-E423C90178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Sheet2!$I$25:$I$29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Sheet2!$J$25:$J$29</c:f>
              <c:numCache>
                <c:formatCode>General</c:formatCode>
                <c:ptCount val="4"/>
                <c:pt idx="0">
                  <c:v>101000</c:v>
                </c:pt>
                <c:pt idx="1">
                  <c:v>117000</c:v>
                </c:pt>
                <c:pt idx="2">
                  <c:v>161000</c:v>
                </c:pt>
                <c:pt idx="3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A-44A2-BA10-E423C9017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261937</xdr:colOff>
      <xdr:row>18</xdr:row>
      <xdr:rowOff>219075</xdr:rowOff>
    </xdr:from>
    <xdr:to>
      <xdr:col>15</xdr:col>
      <xdr:colOff>581025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32B7A-59B7-8A6B-1F21-A383C5AFE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" refreshedDate="46286.643634143518" createdVersion="8" refreshedVersion="8" minRefreshableVersion="3" recordCount="8" xr:uid="{AAD4D4E4-9522-4CD5-9B02-A71753C79635}">
  <cacheSource type="worksheet">
    <worksheetSource ref="A1:G9" sheet="Sheet2"/>
  </cacheSource>
  <cacheFields count="7">
    <cacheField name="EmpID " numFmtId="0">
      <sharedItems containsSemiMixedTypes="0" containsString="0" containsNumber="1" containsInteger="1" minValue="101" maxValue="109"/>
    </cacheField>
    <cacheField name="Name" numFmtId="0">
      <sharedItems/>
    </cacheField>
    <cacheField name="Department" numFmtId="0">
      <sharedItems count="4">
        <s v="Sales"/>
        <s v="Hr"/>
        <s v="IT"/>
        <s v="Finance"/>
      </sharedItems>
    </cacheField>
    <cacheField name="City" numFmtId="0">
      <sharedItems count="6">
        <s v="Ahemdabad"/>
        <s v="Mumbai"/>
        <s v="Surat"/>
        <s v="Delhi"/>
        <s v="Jaipur"/>
        <s v="Ahmedabad"/>
      </sharedItems>
    </cacheField>
    <cacheField name="Salary" numFmtId="0">
      <sharedItems containsSemiMixedTypes="0" containsString="0" containsNumber="1" containsInteger="1" minValue="38000" maxValue="85000"/>
    </cacheField>
    <cacheField name="Experience" numFmtId="0">
      <sharedItems containsSemiMixedTypes="0" containsString="0" containsNumber="1" containsInteger="1" minValue="1" maxValue="8"/>
    </cacheField>
    <cacheField name="Joining Year" numFmtId="0">
      <sharedItems containsSemiMixedTypes="0" containsString="0" containsNumber="1" containsInteger="1" minValue="2016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1"/>
    <s v="Rahul   "/>
    <x v="0"/>
    <x v="0"/>
    <n v="42000"/>
    <n v="2"/>
    <n v="2022"/>
  </r>
  <r>
    <n v="102"/>
    <s v="Priya   "/>
    <x v="1"/>
    <x v="1"/>
    <n v="55000"/>
    <n v="5"/>
    <n v="2019"/>
  </r>
  <r>
    <n v="107"/>
    <s v="Mohit   "/>
    <x v="2"/>
    <x v="2"/>
    <n v="85000"/>
    <n v="8"/>
    <n v="2016"/>
  </r>
  <r>
    <n v="104"/>
    <s v="Sneha   "/>
    <x v="3"/>
    <x v="3"/>
    <n v="48000"/>
    <n v="3"/>
    <n v="2021"/>
  </r>
  <r>
    <n v="105"/>
    <s v="Karan   "/>
    <x v="0"/>
    <x v="4"/>
    <n v="38000"/>
    <n v="1"/>
    <n v="2024"/>
  </r>
  <r>
    <n v="106"/>
    <s v="Neha"/>
    <x v="1"/>
    <x v="5"/>
    <n v="62000"/>
    <n v="7"/>
    <n v="2017"/>
  </r>
  <r>
    <n v="109"/>
    <s v="Ajay    "/>
    <x v="2"/>
    <x v="3"/>
    <n v="76000"/>
    <n v="6"/>
    <n v="2018"/>
  </r>
  <r>
    <n v="108"/>
    <s v="Riya    "/>
    <x v="3"/>
    <x v="1"/>
    <n v="53000"/>
    <n v="4"/>
    <n v="2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16FCD-DC36-443B-920E-BA8E064803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24:J29" firstHeaderRow="1" firstDataRow="1" firstDataCol="1"/>
  <pivotFields count="7"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E84F3-FCCB-4B82-8D6C-47D0F30E8C23}" name="Table1" displayName="Table1" ref="G3:J10" totalsRowShown="0" headerRowDxfId="2">
  <autoFilter ref="G3:J10" xr:uid="{F25E84F3-FCCB-4B82-8D6C-47D0F30E8C23}"/>
  <tableColumns count="4">
    <tableColumn id="1" xr3:uid="{4CAF3CFE-0528-4098-B6BB-134AD6A1686F}" name="Column1" dataDxfId="6"/>
    <tableColumn id="2" xr3:uid="{56B2C7DC-C6BF-4C10-BDE4-1C5453F19FF9}" name="f" dataDxfId="5"/>
    <tableColumn id="3" xr3:uid="{4A1C3EE4-9C78-4A17-A9AE-F322EB66069C}" name="x" dataDxfId="4"/>
    <tableColumn id="4" xr3:uid="{D342BD2D-5083-4037-8E7E-22574DBFB93D}" name="fx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D98FD-A026-4DC7-93E2-7AB6AB87630A}" name="Table2" displayName="Table2" ref="D1:E13" totalsRowShown="0">
  <autoFilter ref="D1:E13" xr:uid="{FCED98FD-A026-4DC7-93E2-7AB6AB87630A}"/>
  <tableColumns count="2">
    <tableColumn id="1" xr3:uid="{B7AE8958-B5FA-4033-AAAD-83D1975F99BC}" name="Column1"/>
    <tableColumn id="2" xr3:uid="{5E3F1C73-8F7D-4FEB-B574-9B1B43CDD0F1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67F2D-3E01-4CF2-8056-A7224D768D8E}" name="Table3" displayName="Table3" ref="A1:G11" totalsRowShown="0">
  <autoFilter ref="A1:G11" xr:uid="{6CA67F2D-3E01-4CF2-8056-A7224D768D8E}">
    <filterColumn colId="2">
      <filters>
        <filter val="Finance"/>
        <filter val="Hr"/>
      </filters>
    </filterColumn>
  </autoFilter>
  <sortState xmlns:xlrd2="http://schemas.microsoft.com/office/spreadsheetml/2017/richdata2" ref="A4:G10">
    <sortCondition descending="1" ref="E1:E11"/>
  </sortState>
  <tableColumns count="7">
    <tableColumn id="1" xr3:uid="{02DB2130-3BBB-43F1-8DBC-892DFACDEC15}" name="EmpID "/>
    <tableColumn id="2" xr3:uid="{4E93C71C-B2D3-46CF-8189-5E208905EAC7}" name="Name" dataDxfId="1"/>
    <tableColumn id="3" xr3:uid="{34E50871-7BA1-4800-8505-CB53159F40FA}" name="Hr"/>
    <tableColumn id="4" xr3:uid="{2FC6E545-AEF3-45D2-B269-79CBDBC40A9C}" name="City"/>
    <tableColumn id="5" xr3:uid="{35547F9B-2B73-43A1-B973-2DC4B23CE2FA}" name="Salary"/>
    <tableColumn id="6" xr3:uid="{CABAD54C-D289-4438-9C02-6499A9DBF5A8}" name="Experience"/>
    <tableColumn id="7" xr3:uid="{B59D64AF-9DDE-4A9A-9072-C76DAA1BC68E}" name="Joining 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5F6A-CD8B-4C48-BE9A-151A5EC3524B}">
  <dimension ref="A1:J17"/>
  <sheetViews>
    <sheetView workbookViewId="0">
      <selection activeCell="G20" sqref="G20"/>
    </sheetView>
  </sheetViews>
  <sheetFormatPr defaultRowHeight="14.25" x14ac:dyDescent="0.2"/>
  <cols>
    <col min="5" max="5" width="9.125" customWidth="1"/>
  </cols>
  <sheetData>
    <row r="1" spans="1:10" x14ac:dyDescent="0.2">
      <c r="A1" t="s">
        <v>0</v>
      </c>
      <c r="B1" t="s">
        <v>1</v>
      </c>
      <c r="D1" t="s">
        <v>55</v>
      </c>
      <c r="E1" t="s">
        <v>56</v>
      </c>
      <c r="G1" t="s">
        <v>26</v>
      </c>
    </row>
    <row r="2" spans="1:10" x14ac:dyDescent="0.2">
      <c r="A2">
        <v>1</v>
      </c>
      <c r="B2" t="s">
        <v>2</v>
      </c>
      <c r="D2" t="s">
        <v>7</v>
      </c>
      <c r="E2" t="s">
        <v>18</v>
      </c>
    </row>
    <row r="3" spans="1:10" x14ac:dyDescent="0.2">
      <c r="A3">
        <v>2</v>
      </c>
      <c r="B3" t="s">
        <v>3</v>
      </c>
      <c r="G3" s="2" t="s">
        <v>55</v>
      </c>
      <c r="H3" s="2" t="s">
        <v>22</v>
      </c>
      <c r="I3" s="2" t="s">
        <v>23</v>
      </c>
      <c r="J3" s="2" t="s">
        <v>24</v>
      </c>
    </row>
    <row r="4" spans="1:10" x14ac:dyDescent="0.2">
      <c r="A4">
        <v>3</v>
      </c>
      <c r="B4" t="s">
        <v>4</v>
      </c>
      <c r="D4" t="s">
        <v>8</v>
      </c>
      <c r="E4">
        <v>65</v>
      </c>
      <c r="G4" s="2" t="s">
        <v>21</v>
      </c>
      <c r="H4" s="2">
        <v>4</v>
      </c>
      <c r="I4" s="2">
        <v>5</v>
      </c>
      <c r="J4" s="2">
        <v>20</v>
      </c>
    </row>
    <row r="5" spans="1:10" x14ac:dyDescent="0.2">
      <c r="A5">
        <v>4</v>
      </c>
      <c r="B5" t="s">
        <v>5</v>
      </c>
      <c r="D5" t="s">
        <v>9</v>
      </c>
      <c r="E5">
        <v>70</v>
      </c>
      <c r="G5" s="3"/>
      <c r="H5" s="2">
        <v>6</v>
      </c>
      <c r="I5" s="2">
        <v>15</v>
      </c>
      <c r="J5" s="2">
        <f>H5*I5</f>
        <v>90</v>
      </c>
    </row>
    <row r="6" spans="1:10" x14ac:dyDescent="0.2">
      <c r="A6">
        <v>5</v>
      </c>
      <c r="B6" t="s">
        <v>6</v>
      </c>
      <c r="D6" t="s">
        <v>10</v>
      </c>
      <c r="E6">
        <v>72</v>
      </c>
      <c r="G6" s="2"/>
      <c r="H6" s="2">
        <v>8</v>
      </c>
      <c r="I6" s="2">
        <v>25</v>
      </c>
      <c r="J6" s="2">
        <f t="shared" ref="J6:J9" si="0">H6*I6</f>
        <v>200</v>
      </c>
    </row>
    <row r="7" spans="1:10" x14ac:dyDescent="0.2">
      <c r="D7" t="s">
        <v>11</v>
      </c>
      <c r="E7">
        <v>68</v>
      </c>
      <c r="G7" s="2"/>
      <c r="H7" s="2">
        <v>10</v>
      </c>
      <c r="I7" s="2">
        <v>35</v>
      </c>
      <c r="J7" s="2">
        <f t="shared" si="0"/>
        <v>350</v>
      </c>
    </row>
    <row r="8" spans="1:10" ht="17.25" x14ac:dyDescent="0.2">
      <c r="B8" s="1"/>
      <c r="D8" t="s">
        <v>12</v>
      </c>
      <c r="E8">
        <v>75</v>
      </c>
      <c r="G8" s="2"/>
      <c r="H8" s="2">
        <v>5</v>
      </c>
      <c r="I8" s="2">
        <v>45</v>
      </c>
      <c r="J8" s="2">
        <f t="shared" si="0"/>
        <v>225</v>
      </c>
    </row>
    <row r="9" spans="1:10" x14ac:dyDescent="0.2">
      <c r="D9" t="s">
        <v>13</v>
      </c>
      <c r="E9">
        <v>80</v>
      </c>
      <c r="G9" s="2"/>
      <c r="H9" s="2">
        <v>7</v>
      </c>
      <c r="I9" s="2">
        <v>55</v>
      </c>
      <c r="J9" s="2">
        <f t="shared" si="0"/>
        <v>385</v>
      </c>
    </row>
    <row r="10" spans="1:10" x14ac:dyDescent="0.2">
      <c r="D10" t="s">
        <v>14</v>
      </c>
      <c r="E10">
        <v>72</v>
      </c>
      <c r="G10" s="2" t="s">
        <v>25</v>
      </c>
      <c r="H10" s="2">
        <f>SUM(H4:H9)</f>
        <v>40</v>
      </c>
      <c r="I10" s="2"/>
      <c r="J10" s="2">
        <f>SUM(J4:J9)</f>
        <v>1270</v>
      </c>
    </row>
    <row r="11" spans="1:10" x14ac:dyDescent="0.2">
      <c r="D11" t="s">
        <v>15</v>
      </c>
      <c r="E11">
        <v>68</v>
      </c>
    </row>
    <row r="12" spans="1:10" x14ac:dyDescent="0.2">
      <c r="D12" t="s">
        <v>16</v>
      </c>
      <c r="E12">
        <v>90</v>
      </c>
      <c r="I12" t="s">
        <v>19</v>
      </c>
      <c r="J12">
        <f>J10/H10</f>
        <v>31.75</v>
      </c>
    </row>
    <row r="13" spans="1:10" x14ac:dyDescent="0.2">
      <c r="D13" t="s">
        <v>17</v>
      </c>
      <c r="E13">
        <v>70</v>
      </c>
    </row>
    <row r="14" spans="1:10" x14ac:dyDescent="0.2">
      <c r="D14" t="s">
        <v>19</v>
      </c>
      <c r="E14">
        <f>SUM(E4:E13)/10</f>
        <v>73</v>
      </c>
    </row>
    <row r="15" spans="1:10" x14ac:dyDescent="0.2">
      <c r="D15" t="s">
        <v>20</v>
      </c>
      <c r="E15">
        <v>90</v>
      </c>
    </row>
    <row r="16" spans="1:10" x14ac:dyDescent="0.2">
      <c r="D16" t="s">
        <v>2</v>
      </c>
      <c r="E16" s="2">
        <v>71</v>
      </c>
    </row>
    <row r="17" spans="4:5" x14ac:dyDescent="0.2">
      <c r="D17" t="s">
        <v>3</v>
      </c>
      <c r="E17">
        <f>E12-E4</f>
        <v>25</v>
      </c>
    </row>
  </sheetData>
  <phoneticPr fontId="6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A275-43F8-4B3B-9873-E001CB3AAAAE}">
  <dimension ref="A1:J29"/>
  <sheetViews>
    <sheetView tabSelected="1" workbookViewId="0">
      <pane ySplit="2" topLeftCell="A3" activePane="bottomLeft" state="frozen"/>
      <selection pane="bottomLeft" activeCell="J18" sqref="J18"/>
    </sheetView>
  </sheetViews>
  <sheetFormatPr defaultRowHeight="14.25" x14ac:dyDescent="0.2"/>
  <cols>
    <col min="1" max="1" width="10.125" bestFit="1" customWidth="1"/>
    <col min="2" max="2" width="10.125" customWidth="1"/>
    <col min="3" max="3" width="11.25" customWidth="1"/>
    <col min="5" max="5" width="10.25" bestFit="1" customWidth="1"/>
    <col min="6" max="6" width="10.875" customWidth="1"/>
    <col min="7" max="7" width="11.5" customWidth="1"/>
    <col min="9" max="9" width="19.625" bestFit="1" customWidth="1"/>
    <col min="14" max="15" width="11.25" bestFit="1" customWidth="1"/>
  </cols>
  <sheetData>
    <row r="1" spans="1:10" x14ac:dyDescent="0.2">
      <c r="A1" t="s">
        <v>31</v>
      </c>
      <c r="B1" t="s">
        <v>32</v>
      </c>
      <c r="C1" t="s">
        <v>44</v>
      </c>
      <c r="D1" t="s">
        <v>27</v>
      </c>
      <c r="E1" s="13" t="s">
        <v>28</v>
      </c>
      <c r="F1" t="s">
        <v>29</v>
      </c>
      <c r="G1" t="s">
        <v>30</v>
      </c>
      <c r="I1" s="10"/>
    </row>
    <row r="2" spans="1:10" hidden="1" x14ac:dyDescent="0.2">
      <c r="A2">
        <v>101</v>
      </c>
      <c r="B2" s="6" t="s">
        <v>42</v>
      </c>
      <c r="C2" t="s">
        <v>43</v>
      </c>
      <c r="D2" t="s">
        <v>48</v>
      </c>
      <c r="E2">
        <v>42000</v>
      </c>
      <c r="F2">
        <v>2</v>
      </c>
      <c r="G2">
        <v>2022</v>
      </c>
      <c r="H2" t="str">
        <f>IF(E2&gt;=50000,"High","Low")</f>
        <v>Low</v>
      </c>
    </row>
    <row r="3" spans="1:10" x14ac:dyDescent="0.2">
      <c r="A3">
        <v>102</v>
      </c>
      <c r="B3" s="6" t="s">
        <v>41</v>
      </c>
      <c r="C3" t="s">
        <v>44</v>
      </c>
      <c r="D3" t="s">
        <v>49</v>
      </c>
      <c r="E3" s="13">
        <v>55000</v>
      </c>
      <c r="F3">
        <v>5</v>
      </c>
      <c r="G3">
        <v>2019</v>
      </c>
      <c r="H3" t="str">
        <f>IF(E3&gt;=50000,"High","Low")</f>
        <v>High</v>
      </c>
    </row>
    <row r="4" spans="1:10" hidden="1" x14ac:dyDescent="0.2">
      <c r="A4">
        <v>107</v>
      </c>
      <c r="B4" s="6" t="s">
        <v>36</v>
      </c>
      <c r="C4" t="s">
        <v>45</v>
      </c>
      <c r="D4" t="s">
        <v>54</v>
      </c>
      <c r="E4">
        <v>85000</v>
      </c>
      <c r="F4">
        <v>8</v>
      </c>
      <c r="G4">
        <v>2016</v>
      </c>
      <c r="H4" t="str">
        <f>IF(E4&gt;=50000,"High","Low")</f>
        <v>High</v>
      </c>
    </row>
    <row r="5" spans="1:10" x14ac:dyDescent="0.2">
      <c r="A5">
        <v>104</v>
      </c>
      <c r="B5" s="6" t="s">
        <v>39</v>
      </c>
      <c r="C5" t="s">
        <v>46</v>
      </c>
      <c r="D5" t="s">
        <v>51</v>
      </c>
      <c r="E5" s="13">
        <v>48000</v>
      </c>
      <c r="F5">
        <v>3</v>
      </c>
      <c r="G5">
        <v>2021</v>
      </c>
      <c r="H5" t="str">
        <f>IF(E5&gt;=50000,"High","Low")</f>
        <v>Low</v>
      </c>
    </row>
    <row r="6" spans="1:10" hidden="1" x14ac:dyDescent="0.2">
      <c r="A6">
        <v>105</v>
      </c>
      <c r="B6" s="6" t="s">
        <v>38</v>
      </c>
      <c r="C6" t="s">
        <v>43</v>
      </c>
      <c r="D6" t="s">
        <v>52</v>
      </c>
      <c r="E6">
        <v>38000</v>
      </c>
      <c r="F6">
        <v>1</v>
      </c>
      <c r="G6">
        <v>2024</v>
      </c>
      <c r="H6" t="str">
        <f>IF(E6&gt;=50000,"High","Low")</f>
        <v>Low</v>
      </c>
    </row>
    <row r="7" spans="1:10" x14ac:dyDescent="0.2">
      <c r="A7">
        <v>106</v>
      </c>
      <c r="B7" s="6" t="s">
        <v>37</v>
      </c>
      <c r="C7" t="s">
        <v>47</v>
      </c>
      <c r="D7" t="s">
        <v>53</v>
      </c>
      <c r="E7" s="13">
        <v>62000</v>
      </c>
      <c r="F7">
        <v>7</v>
      </c>
      <c r="G7">
        <v>2017</v>
      </c>
      <c r="H7" t="str">
        <f>IF(E7&gt;=50000,"High","Low")</f>
        <v>High</v>
      </c>
    </row>
    <row r="8" spans="1:10" hidden="1" x14ac:dyDescent="0.2">
      <c r="A8">
        <v>109</v>
      </c>
      <c r="B8" s="6" t="s">
        <v>34</v>
      </c>
      <c r="C8" t="s">
        <v>45</v>
      </c>
      <c r="D8" t="s">
        <v>51</v>
      </c>
      <c r="E8">
        <v>76000</v>
      </c>
      <c r="F8">
        <v>6</v>
      </c>
      <c r="G8">
        <v>2018</v>
      </c>
      <c r="H8" t="str">
        <f>IF(E8&gt;=50000,"High","Low")</f>
        <v>High</v>
      </c>
      <c r="I8" s="5"/>
    </row>
    <row r="9" spans="1:10" x14ac:dyDescent="0.2">
      <c r="A9">
        <v>108</v>
      </c>
      <c r="B9" s="6" t="s">
        <v>35</v>
      </c>
      <c r="C9" t="s">
        <v>46</v>
      </c>
      <c r="D9" t="s">
        <v>49</v>
      </c>
      <c r="E9" s="13">
        <v>53000</v>
      </c>
      <c r="F9">
        <v>4</v>
      </c>
      <c r="G9">
        <v>2020</v>
      </c>
      <c r="H9" t="str">
        <f>IF(E9&gt;=50000,"High","Low")</f>
        <v>High</v>
      </c>
      <c r="I9" s="4"/>
    </row>
    <row r="10" spans="1:10" hidden="1" x14ac:dyDescent="0.2">
      <c r="A10">
        <v>103</v>
      </c>
      <c r="B10" s="6" t="s">
        <v>40</v>
      </c>
      <c r="C10" t="s">
        <v>45</v>
      </c>
      <c r="D10" t="s">
        <v>50</v>
      </c>
      <c r="E10">
        <v>70000</v>
      </c>
      <c r="F10">
        <v>6</v>
      </c>
      <c r="G10">
        <v>2018</v>
      </c>
      <c r="H10" t="str">
        <f>IF(E10&gt;=50000,"High","Low")</f>
        <v>High</v>
      </c>
      <c r="I10" s="5"/>
    </row>
    <row r="11" spans="1:10" hidden="1" x14ac:dyDescent="0.2">
      <c r="A11">
        <v>110</v>
      </c>
      <c r="B11" s="6" t="s">
        <v>33</v>
      </c>
      <c r="C11" t="s">
        <v>43</v>
      </c>
      <c r="D11" t="s">
        <v>48</v>
      </c>
      <c r="E11">
        <v>47000</v>
      </c>
      <c r="F11">
        <v>3</v>
      </c>
      <c r="G11">
        <v>2021</v>
      </c>
      <c r="H11" t="str">
        <f>IF(E11&gt;=50000,"High","Low")</f>
        <v>Low</v>
      </c>
      <c r="I11" s="4" t="s">
        <v>57</v>
      </c>
      <c r="J11">
        <f>SUM(E2:E11)</f>
        <v>576000</v>
      </c>
    </row>
    <row r="12" spans="1:10" x14ac:dyDescent="0.2">
      <c r="I12" s="6" t="s">
        <v>58</v>
      </c>
      <c r="J12">
        <f>AVERAGE(E2:E11)</f>
        <v>57600</v>
      </c>
    </row>
    <row r="13" spans="1:10" x14ac:dyDescent="0.2">
      <c r="I13" s="4" t="s">
        <v>59</v>
      </c>
      <c r="J13">
        <f>MAX(E2:E11)</f>
        <v>85000</v>
      </c>
    </row>
    <row r="14" spans="1:10" x14ac:dyDescent="0.2">
      <c r="I14" s="6" t="s">
        <v>60</v>
      </c>
      <c r="J14">
        <f>MIN(E2:E11)</f>
        <v>38000</v>
      </c>
    </row>
    <row r="15" spans="1:10" x14ac:dyDescent="0.2">
      <c r="I15" s="4" t="s">
        <v>61</v>
      </c>
      <c r="J15">
        <f>COUNT(A2:A11)</f>
        <v>10</v>
      </c>
    </row>
    <row r="16" spans="1:10" x14ac:dyDescent="0.2">
      <c r="I16" s="6" t="s">
        <v>62</v>
      </c>
      <c r="J16">
        <f>COUNTIF(C1:C11,"Sales")</f>
        <v>3</v>
      </c>
    </row>
    <row r="17" spans="9:10" ht="17.25" x14ac:dyDescent="0.3">
      <c r="I17" s="7" t="s">
        <v>63</v>
      </c>
      <c r="J17">
        <f>SUMIF(C1:C11,"IT",E1:E11)</f>
        <v>231000</v>
      </c>
    </row>
    <row r="18" spans="9:10" ht="33" x14ac:dyDescent="0.3">
      <c r="I18" s="8" t="s">
        <v>64</v>
      </c>
      <c r="J18">
        <f>VLOOKUP(A5,A1:G11,5,0)</f>
        <v>48000</v>
      </c>
    </row>
    <row r="19" spans="9:10" ht="28.5" x14ac:dyDescent="0.25">
      <c r="I19" s="9" t="s">
        <v>65</v>
      </c>
      <c r="J19" t="str">
        <f>_xlfn.XLOOKUP(B5,B1:B11,C1:C11)</f>
        <v>Finance</v>
      </c>
    </row>
    <row r="20" spans="9:10" x14ac:dyDescent="0.2">
      <c r="I20" s="5"/>
    </row>
    <row r="21" spans="9:10" x14ac:dyDescent="0.2">
      <c r="I21" s="4"/>
    </row>
    <row r="22" spans="9:10" x14ac:dyDescent="0.2">
      <c r="I22" s="5"/>
    </row>
    <row r="23" spans="9:10" x14ac:dyDescent="0.2">
      <c r="I23" s="4"/>
    </row>
    <row r="24" spans="9:10" x14ac:dyDescent="0.2">
      <c r="I24" s="11" t="s">
        <v>67</v>
      </c>
      <c r="J24" t="s">
        <v>66</v>
      </c>
    </row>
    <row r="25" spans="9:10" x14ac:dyDescent="0.2">
      <c r="I25" s="12" t="s">
        <v>46</v>
      </c>
      <c r="J25" s="2">
        <v>101000</v>
      </c>
    </row>
    <row r="26" spans="9:10" x14ac:dyDescent="0.2">
      <c r="I26" s="12" t="s">
        <v>44</v>
      </c>
      <c r="J26" s="2">
        <v>117000</v>
      </c>
    </row>
    <row r="27" spans="9:10" x14ac:dyDescent="0.2">
      <c r="I27" s="12" t="s">
        <v>45</v>
      </c>
      <c r="J27" s="2">
        <v>161000</v>
      </c>
    </row>
    <row r="28" spans="9:10" x14ac:dyDescent="0.2">
      <c r="I28" s="12" t="s">
        <v>43</v>
      </c>
      <c r="J28" s="2">
        <v>80000</v>
      </c>
    </row>
    <row r="29" spans="9:10" x14ac:dyDescent="0.2">
      <c r="I29" s="12" t="s">
        <v>68</v>
      </c>
      <c r="J29" s="2">
        <v>459000</v>
      </c>
    </row>
  </sheetData>
  <phoneticPr fontId="6" type="noConversion"/>
  <conditionalFormatting sqref="E1:E10">
    <cfRule type="cellIs" dxfId="0" priority="1" operator="greaterThan">
      <formula>60000</formula>
    </cfRule>
  </conditionalFormatting>
  <dataValidations count="1">
    <dataValidation type="textLength" allowBlank="1" showInputMessage="1" showErrorMessage="1" sqref="I1 C1" xr:uid="{7BC7B6F1-FA51-476B-BD99-40AB098F8DAB}">
      <formula1>1</formula1>
      <formula2>15</formula2>
    </dataValidation>
  </dataValidation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2026-09-21T08:58:06Z</dcterms:created>
  <dcterms:modified xsi:type="dcterms:W3CDTF">2026-09-21T10:26:08Z</dcterms:modified>
</cp:coreProperties>
</file>